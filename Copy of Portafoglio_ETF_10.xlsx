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nicoleabbate/Desktop/"/>
    </mc:Choice>
  </mc:AlternateContent>
  <xr:revisionPtr revIDLastSave="0" documentId="8_{6CA60BF5-F881-E045-969D-5EF24B31252C}" xr6:coauthVersionLast="47" xr6:coauthVersionMax="47" xr10:uidLastSave="{00000000-0000-0000-0000-000000000000}"/>
  <bookViews>
    <workbookView xWindow="0" yWindow="660" windowWidth="20580" windowHeight="11960" tabRatio="500" xr2:uid="{00000000-000D-0000-FFFF-FFFF00000000}"/>
  </bookViews>
  <sheets>
    <sheet name="Portafoglio ETF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1" l="1"/>
  <c r="I11" i="1"/>
  <c r="I10" i="1"/>
  <c r="I9" i="1"/>
  <c r="I8" i="1"/>
  <c r="I7" i="1"/>
  <c r="I6" i="1"/>
  <c r="I5" i="1"/>
  <c r="I4" i="1"/>
  <c r="I3" i="1"/>
  <c r="I2" i="1"/>
  <c r="D18" i="1" l="1"/>
  <c r="I12" i="1"/>
  <c r="J5" i="1" s="1"/>
  <c r="D17" i="1"/>
  <c r="D19" i="1" l="1"/>
  <c r="E18" i="1" s="1"/>
  <c r="J8" i="1"/>
  <c r="J2" i="1"/>
  <c r="J4" i="1"/>
  <c r="J3" i="1"/>
  <c r="J10" i="1"/>
  <c r="J7" i="1"/>
  <c r="J6" i="1"/>
  <c r="J9" i="1"/>
  <c r="J11" i="1"/>
  <c r="E17" i="1" l="1"/>
  <c r="E19" i="1" s="1"/>
  <c r="J12" i="1"/>
</calcChain>
</file>

<file path=xl/sharedStrings.xml><?xml version="1.0" encoding="utf-8"?>
<sst xmlns="http://schemas.openxmlformats.org/spreadsheetml/2006/main" count="69" uniqueCount="57">
  <si>
    <t>#</t>
  </si>
  <si>
    <t>Strumento</t>
  </si>
  <si>
    <t>ISIN</t>
  </si>
  <si>
    <t>Tipo</t>
  </si>
  <si>
    <t>Data di carico</t>
  </si>
  <si>
    <t>Prezzo medio di carico (€)</t>
  </si>
  <si>
    <t>Quantità</t>
  </si>
  <si>
    <t>Controvalore (€)</t>
  </si>
  <si>
    <t>Peso %</t>
  </si>
  <si>
    <t>iShares Core MSCI World UCITS ETF (Acc)</t>
  </si>
  <si>
    <t>IE00B4L5Y983</t>
  </si>
  <si>
    <t>Azionario</t>
  </si>
  <si>
    <t>12/02/2024</t>
  </si>
  <si>
    <t>Vanguard FTSE All-World UCITS ETF (Acc)</t>
  </si>
  <si>
    <t>IE00BK5BQT80</t>
  </si>
  <si>
    <t>05/03/2024</t>
  </si>
  <si>
    <t>iShares Core S&amp;P 500 UCITS ETF (Acc)</t>
  </si>
  <si>
    <t>IE00B5BMR087</t>
  </si>
  <si>
    <t>18/01/2024</t>
  </si>
  <si>
    <t>iShares Core MSCI EM IMI UCITS ETF (Acc)</t>
  </si>
  <si>
    <t>IE00BKM4GZ66</t>
  </si>
  <si>
    <t>09/05/2024</t>
  </si>
  <si>
    <t>iShares Core MSCI Europe UCITS ETF (Acc)</t>
  </si>
  <si>
    <t>IE00B4K48X80</t>
  </si>
  <si>
    <t>14/06/2024</t>
  </si>
  <si>
    <t>iShares Nasdaq 100 UCITS ETF (Acc)</t>
  </si>
  <si>
    <t>IE00B53SZB19</t>
  </si>
  <si>
    <t>26/02/2024</t>
  </si>
  <si>
    <t>iShares Core Global Aggregate Bond ETF (EUR-H Acc)</t>
  </si>
  <si>
    <t>IE00BDBRDM35</t>
  </si>
  <si>
    <t>Obbligazionario</t>
  </si>
  <si>
    <t>30/01/2024</t>
  </si>
  <si>
    <t>iShares Core Euro Government Bond UCITS ETF</t>
  </si>
  <si>
    <t>IE00B4WXJJ64</t>
  </si>
  <si>
    <t>13/03/2024</t>
  </si>
  <si>
    <t>iShares Core Euro Corporate Bond UCITS ETF</t>
  </si>
  <si>
    <t>IE00B3F81R35</t>
  </si>
  <si>
    <t>24/04/2024</t>
  </si>
  <si>
    <t>iShares $ Treasury Bond 7-10yr UCITS ETF</t>
  </si>
  <si>
    <t>IE00B1FZS798</t>
  </si>
  <si>
    <t>19/07/2024</t>
  </si>
  <si>
    <t>TOTALE PORTAFOGLIO</t>
  </si>
  <si>
    <t>Riepilogo per classe di attivo</t>
  </si>
  <si>
    <t>Classe</t>
  </si>
  <si>
    <t>Totale</t>
  </si>
  <si>
    <t>Nota: ISIN reali di ETF UCITS; prezzi medi di carico e date sono ipotetici e vanno verificati prima di qualsiasi uso operativo.</t>
  </si>
  <si>
    <t>Ticker</t>
  </si>
  <si>
    <t>IWDA.L</t>
  </si>
  <si>
    <t>CSPX.L</t>
  </si>
  <si>
    <t>VWCE.DE</t>
  </si>
  <si>
    <t>EIMI.MI</t>
  </si>
  <si>
    <t>IMEA.SW</t>
  </si>
  <si>
    <t>CSNDX.SW</t>
  </si>
  <si>
    <t>OGGH.L</t>
  </si>
  <si>
    <t>SEGA.L</t>
  </si>
  <si>
    <t>IEAC.L</t>
  </si>
  <si>
    <t>IBGX.SW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</si>
</sst>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name val="Arial"/>
      <family val="2"/>
    </font>
    <font>
      <i/>
      <sz val="8"/>
      <color rgb="FF80808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" fontId="3" fillId="3" borderId="1" xfId="0" applyNumberFormat="1" applyFont="1" applyFill="1" applyBorder="1"/>
    <xf numFmtId="3" fontId="3" fillId="3" borderId="1" xfId="0" applyNumberFormat="1" applyFont="1" applyFill="1" applyBorder="1"/>
    <xf numFmtId="4" fontId="2" fillId="3" borderId="1" xfId="0" applyNumberFormat="1" applyFont="1" applyFill="1" applyBorder="1"/>
    <xf numFmtId="164" fontId="2" fillId="3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4" fontId="3" fillId="4" borderId="1" xfId="0" applyNumberFormat="1" applyFont="1" applyFill="1" applyBorder="1"/>
    <xf numFmtId="3" fontId="3" fillId="4" borderId="1" xfId="0" applyNumberFormat="1" applyFont="1" applyFill="1" applyBorder="1"/>
    <xf numFmtId="4" fontId="2" fillId="4" borderId="1" xfId="0" applyNumberFormat="1" applyFont="1" applyFill="1" applyBorder="1"/>
    <xf numFmtId="164" fontId="2" fillId="4" borderId="1" xfId="0" applyNumberFormat="1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4" fontId="4" fillId="2" borderId="1" xfId="0" applyNumberFormat="1" applyFont="1" applyFill="1" applyBorder="1"/>
    <xf numFmtId="164" fontId="4" fillId="2" borderId="1" xfId="0" applyNumberFormat="1" applyFont="1" applyFill="1" applyBorder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6" fillId="3" borderId="1" xfId="0" applyFont="1" applyFill="1" applyBorder="1"/>
    <xf numFmtId="4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4" borderId="1" xfId="0" applyFont="1" applyFill="1" applyBorder="1"/>
    <xf numFmtId="4" fontId="6" fillId="4" borderId="1" xfId="0" applyNumberFormat="1" applyFont="1" applyFill="1" applyBorder="1"/>
    <xf numFmtId="164" fontId="6" fillId="4" borderId="1" xfId="0" applyNumberFormat="1" applyFont="1" applyFill="1" applyBorder="1"/>
    <xf numFmtId="0" fontId="1" fillId="2" borderId="1" xfId="0" applyFont="1" applyFill="1" applyBorder="1"/>
    <xf numFmtId="4" fontId="1" fillId="2" borderId="1" xfId="0" applyNumberFormat="1" applyFont="1" applyFill="1" applyBorder="1"/>
    <xf numFmtId="164" fontId="1" fillId="2" borderId="1" xfId="0" applyNumberFormat="1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zoomScale="75" zoomScaleNormal="100" workbookViewId="0">
      <pane ySplit="1" topLeftCell="A2" activePane="bottomLeft" state="frozen"/>
      <selection pane="bottomLeft" activeCell="E14" sqref="E14"/>
    </sheetView>
  </sheetViews>
  <sheetFormatPr baseColWidth="10" defaultColWidth="8.6640625" defaultRowHeight="15" x14ac:dyDescent="0.2"/>
  <cols>
    <col min="1" max="1" width="5" customWidth="1"/>
    <col min="2" max="2" width="43" customWidth="1"/>
    <col min="3" max="3" width="16.5" customWidth="1"/>
    <col min="4" max="4" width="16" customWidth="1"/>
    <col min="5" max="5" width="17" customWidth="1"/>
    <col min="6" max="6" width="15" customWidth="1"/>
    <col min="7" max="7" width="16" customWidth="1"/>
    <col min="8" max="8" width="12" customWidth="1"/>
    <col min="9" max="9" width="18" customWidth="1"/>
    <col min="10" max="10" width="9" customWidth="1"/>
  </cols>
  <sheetData>
    <row r="1" spans="1:10" ht="30" customHeight="1" x14ac:dyDescent="0.2">
      <c r="A1" s="1" t="s">
        <v>0</v>
      </c>
      <c r="B1" s="1" t="s">
        <v>1</v>
      </c>
      <c r="C1" s="1" t="s">
        <v>46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2">
        <v>1</v>
      </c>
      <c r="B2" s="3" t="s">
        <v>9</v>
      </c>
      <c r="C2" s="3" t="s">
        <v>47</v>
      </c>
      <c r="D2" s="2" t="s">
        <v>10</v>
      </c>
      <c r="E2" s="2" t="s">
        <v>11</v>
      </c>
      <c r="F2" s="2" t="s">
        <v>12</v>
      </c>
      <c r="G2" s="4">
        <v>89.33</v>
      </c>
      <c r="H2" s="5">
        <v>2200</v>
      </c>
      <c r="I2" s="6">
        <f t="shared" ref="I2:I11" si="0">G2*H2</f>
        <v>196526</v>
      </c>
      <c r="J2" s="7">
        <f t="shared" ref="J2:J11" si="1">I2/$I$12</f>
        <v>9.9767630555071735E-2</v>
      </c>
    </row>
    <row r="3" spans="1:10" x14ac:dyDescent="0.2">
      <c r="A3" s="2">
        <v>2</v>
      </c>
      <c r="B3" s="3" t="s">
        <v>13</v>
      </c>
      <c r="C3" s="3" t="s">
        <v>49</v>
      </c>
      <c r="D3" s="2" t="s">
        <v>14</v>
      </c>
      <c r="E3" s="2" t="s">
        <v>11</v>
      </c>
      <c r="F3" s="2" t="s">
        <v>15</v>
      </c>
      <c r="G3" s="4">
        <v>114.78</v>
      </c>
      <c r="H3" s="5">
        <v>1500</v>
      </c>
      <c r="I3" s="6">
        <f t="shared" si="0"/>
        <v>172170</v>
      </c>
      <c r="J3" s="7">
        <f t="shared" si="1"/>
        <v>8.7403157611037216E-2</v>
      </c>
    </row>
    <row r="4" spans="1:10" x14ac:dyDescent="0.2">
      <c r="A4" s="2">
        <v>3</v>
      </c>
      <c r="B4" s="3" t="s">
        <v>16</v>
      </c>
      <c r="C4" s="3" t="s">
        <v>48</v>
      </c>
      <c r="D4" s="2" t="s">
        <v>17</v>
      </c>
      <c r="E4" s="2" t="s">
        <v>11</v>
      </c>
      <c r="F4" s="2" t="s">
        <v>18</v>
      </c>
      <c r="G4" s="4">
        <v>450.88</v>
      </c>
      <c r="H4" s="5">
        <v>360</v>
      </c>
      <c r="I4" s="6">
        <f t="shared" si="0"/>
        <v>162316.79999999999</v>
      </c>
      <c r="J4" s="7">
        <f t="shared" si="1"/>
        <v>8.2401120133119621E-2</v>
      </c>
    </row>
    <row r="5" spans="1:10" x14ac:dyDescent="0.2">
      <c r="A5" s="2">
        <v>4</v>
      </c>
      <c r="B5" s="3" t="s">
        <v>19</v>
      </c>
      <c r="C5" s="3" t="s">
        <v>50</v>
      </c>
      <c r="D5" s="2" t="s">
        <v>20</v>
      </c>
      <c r="E5" s="2" t="s">
        <v>11</v>
      </c>
      <c r="F5" s="2" t="s">
        <v>21</v>
      </c>
      <c r="G5" s="4">
        <v>34.549999999999997</v>
      </c>
      <c r="H5" s="5">
        <v>5700</v>
      </c>
      <c r="I5" s="6">
        <f t="shared" si="0"/>
        <v>196934.99999999997</v>
      </c>
      <c r="J5" s="7">
        <f t="shared" si="1"/>
        <v>9.9975261916301392E-2</v>
      </c>
    </row>
    <row r="6" spans="1:10" x14ac:dyDescent="0.2">
      <c r="A6" s="2">
        <v>5</v>
      </c>
      <c r="B6" s="3" t="s">
        <v>22</v>
      </c>
      <c r="C6" s="3" t="s">
        <v>51</v>
      </c>
      <c r="D6" s="2" t="s">
        <v>23</v>
      </c>
      <c r="E6" s="2" t="s">
        <v>11</v>
      </c>
      <c r="F6" s="2" t="s">
        <v>24</v>
      </c>
      <c r="G6" s="4">
        <v>74.67</v>
      </c>
      <c r="H6" s="5">
        <v>6200</v>
      </c>
      <c r="I6" s="6">
        <f t="shared" si="0"/>
        <v>462954</v>
      </c>
      <c r="J6" s="7">
        <f t="shared" si="1"/>
        <v>0.2350214406032417</v>
      </c>
    </row>
    <row r="7" spans="1:10" x14ac:dyDescent="0.2">
      <c r="A7" s="2">
        <v>6</v>
      </c>
      <c r="B7" s="3" t="s">
        <v>25</v>
      </c>
      <c r="C7" s="3" t="s">
        <v>52</v>
      </c>
      <c r="D7" s="2" t="s">
        <v>26</v>
      </c>
      <c r="E7" s="2" t="s">
        <v>11</v>
      </c>
      <c r="F7" s="2" t="s">
        <v>27</v>
      </c>
      <c r="G7" s="4">
        <v>996</v>
      </c>
      <c r="H7" s="5">
        <v>170</v>
      </c>
      <c r="I7" s="6">
        <f t="shared" si="0"/>
        <v>169320</v>
      </c>
      <c r="J7" s="7">
        <f t="shared" si="1"/>
        <v>8.5956337612248482E-2</v>
      </c>
    </row>
    <row r="8" spans="1:10" x14ac:dyDescent="0.2">
      <c r="A8" s="8">
        <v>7</v>
      </c>
      <c r="B8" s="9" t="s">
        <v>28</v>
      </c>
      <c r="C8" s="9" t="s">
        <v>53</v>
      </c>
      <c r="D8" s="8" t="s">
        <v>29</v>
      </c>
      <c r="E8" s="8" t="s">
        <v>30</v>
      </c>
      <c r="F8" s="8" t="s">
        <v>31</v>
      </c>
      <c r="G8" s="10">
        <v>4.6500000000000004</v>
      </c>
      <c r="H8" s="11">
        <v>39000</v>
      </c>
      <c r="I8" s="12">
        <f t="shared" si="0"/>
        <v>181350</v>
      </c>
      <c r="J8" s="13">
        <f t="shared" si="1"/>
        <v>9.2063440975556715E-2</v>
      </c>
    </row>
    <row r="9" spans="1:10" x14ac:dyDescent="0.2">
      <c r="A9" s="8">
        <v>8</v>
      </c>
      <c r="B9" s="9" t="s">
        <v>32</v>
      </c>
      <c r="C9" s="9" t="s">
        <v>54</v>
      </c>
      <c r="D9" s="8" t="s">
        <v>33</v>
      </c>
      <c r="E9" s="8" t="s">
        <v>30</v>
      </c>
      <c r="F9" s="8" t="s">
        <v>34</v>
      </c>
      <c r="G9" s="10">
        <v>90.9</v>
      </c>
      <c r="H9" s="11">
        <v>1480</v>
      </c>
      <c r="I9" s="12">
        <f t="shared" si="0"/>
        <v>134532</v>
      </c>
      <c r="J9" s="13">
        <f t="shared" si="1"/>
        <v>6.8295995816507277E-2</v>
      </c>
    </row>
    <row r="10" spans="1:10" x14ac:dyDescent="0.2">
      <c r="A10" s="8">
        <v>9</v>
      </c>
      <c r="B10" s="9" t="s">
        <v>35</v>
      </c>
      <c r="C10" s="9" t="s">
        <v>55</v>
      </c>
      <c r="D10" s="8" t="s">
        <v>36</v>
      </c>
      <c r="E10" s="8" t="s">
        <v>30</v>
      </c>
      <c r="F10" s="8" t="s">
        <v>37</v>
      </c>
      <c r="G10" s="10">
        <v>110.51</v>
      </c>
      <c r="H10" s="11">
        <v>1670</v>
      </c>
      <c r="I10" s="12">
        <f t="shared" si="0"/>
        <v>184551.7</v>
      </c>
      <c r="J10" s="13">
        <f t="shared" si="1"/>
        <v>9.3688803638757381E-2</v>
      </c>
    </row>
    <row r="11" spans="1:10" x14ac:dyDescent="0.2">
      <c r="A11" s="8">
        <v>10</v>
      </c>
      <c r="B11" s="9" t="s">
        <v>38</v>
      </c>
      <c r="C11" s="9" t="s">
        <v>56</v>
      </c>
      <c r="D11" s="8" t="s">
        <v>39</v>
      </c>
      <c r="E11" s="8" t="s">
        <v>30</v>
      </c>
      <c r="F11" s="8" t="s">
        <v>40</v>
      </c>
      <c r="G11" s="10">
        <v>111.41</v>
      </c>
      <c r="H11" s="11">
        <v>980</v>
      </c>
      <c r="I11" s="12">
        <f t="shared" si="0"/>
        <v>109181.8</v>
      </c>
      <c r="J11" s="13">
        <f t="shared" si="1"/>
        <v>5.5426811138158463E-2</v>
      </c>
    </row>
    <row r="12" spans="1:10" x14ac:dyDescent="0.2">
      <c r="A12" s="14"/>
      <c r="B12" s="14" t="s">
        <v>41</v>
      </c>
      <c r="C12" s="14"/>
      <c r="D12" s="14"/>
      <c r="E12" s="14"/>
      <c r="F12" s="14"/>
      <c r="G12" s="14"/>
      <c r="H12" s="15">
        <f>SUM(H2:H11)</f>
        <v>59260</v>
      </c>
      <c r="I12" s="16">
        <f>SUM(I2:I11)</f>
        <v>1969837.3</v>
      </c>
      <c r="J12" s="17">
        <f>SUM(J2:J11)</f>
        <v>1</v>
      </c>
    </row>
    <row r="15" spans="1:10" x14ac:dyDescent="0.2">
      <c r="B15" s="18" t="s">
        <v>42</v>
      </c>
      <c r="C15" s="18"/>
    </row>
    <row r="16" spans="1:10" x14ac:dyDescent="0.2">
      <c r="B16" s="19" t="s">
        <v>43</v>
      </c>
      <c r="C16" s="19"/>
      <c r="D16" s="19" t="s">
        <v>7</v>
      </c>
      <c r="E16" s="19" t="s">
        <v>8</v>
      </c>
    </row>
    <row r="17" spans="2:5" x14ac:dyDescent="0.2">
      <c r="B17" s="20" t="s">
        <v>11</v>
      </c>
      <c r="C17" s="20"/>
      <c r="D17" s="21">
        <f>SUMIF($E$2:$E$11,"Azionario",$I$2:$I$11)</f>
        <v>1360221.8</v>
      </c>
      <c r="E17" s="22">
        <f>D17/$D$19</f>
        <v>0.69052494843102019</v>
      </c>
    </row>
    <row r="18" spans="2:5" x14ac:dyDescent="0.2">
      <c r="B18" s="23" t="s">
        <v>30</v>
      </c>
      <c r="C18" s="23"/>
      <c r="D18" s="24">
        <f>SUMIF($E$2:$E$11,"Obbligazionario",$I$2:$I$11)</f>
        <v>609615.5</v>
      </c>
      <c r="E18" s="25">
        <f>D18/$D$19</f>
        <v>0.30947505156897981</v>
      </c>
    </row>
    <row r="19" spans="2:5" x14ac:dyDescent="0.2">
      <c r="B19" s="26" t="s">
        <v>44</v>
      </c>
      <c r="C19" s="26"/>
      <c r="D19" s="27">
        <f>SUM(D17:D18)</f>
        <v>1969837.3</v>
      </c>
      <c r="E19" s="28">
        <f>SUM(E17:E18)</f>
        <v>1</v>
      </c>
    </row>
    <row r="21" spans="2:5" x14ac:dyDescent="0.2">
      <c r="B21" s="29" t="s">
        <v>45</v>
      </c>
      <c r="C21" s="2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Portafoglio ETF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Abbate Nicole</cp:lastModifiedBy>
  <cp:revision>0</cp:revision>
  <dcterms:created xsi:type="dcterms:W3CDTF">2026-06-08T15:29:54Z</dcterms:created>
  <dcterms:modified xsi:type="dcterms:W3CDTF">2026-06-12T20:38:44Z</dcterms:modified>
  <dc:language>en-US</dc:language>
</cp:coreProperties>
</file>